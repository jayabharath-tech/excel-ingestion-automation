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L:\TSA\05. Scheme Accounts\2. Member Data\Workings\Administrator Data Examples\10 examples - random\"/>
    </mc:Choice>
  </mc:AlternateContent>
  <xr:revisionPtr revIDLastSave="0" documentId="13_ncr:1_{A79B17A1-5A01-4F48-9212-C44CCAFE6048}" xr6:coauthVersionLast="47" xr6:coauthVersionMax="47" xr10:uidLastSave="{00000000-0000-0000-0000-000000000000}"/>
  <bookViews>
    <workbookView xWindow="-108" yWindow="-108" windowWidth="23256" windowHeight="13896" xr2:uid="{D368896C-278F-4AAF-8691-87245E46E2F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" i="1" l="1"/>
  <c r="AF3" i="1" s="1"/>
  <c r="AD4" i="1"/>
  <c r="AD5" i="1"/>
  <c r="AF5" i="1" s="1"/>
  <c r="AD6" i="1"/>
  <c r="AD7" i="1"/>
  <c r="AF7" i="1" s="1"/>
  <c r="AD8" i="1"/>
  <c r="AF8" i="1" s="1"/>
  <c r="AD9" i="1"/>
  <c r="AF9" i="1" s="1"/>
  <c r="AD10" i="1"/>
  <c r="AD11" i="1"/>
  <c r="AF11" i="1" s="1"/>
  <c r="AD12" i="1"/>
  <c r="AF12" i="1" s="1"/>
  <c r="AD13" i="1"/>
  <c r="AF13" i="1" s="1"/>
  <c r="AD14" i="1"/>
  <c r="AF14" i="1" s="1"/>
  <c r="AD15" i="1"/>
  <c r="AD16" i="1"/>
  <c r="AD17" i="1"/>
  <c r="AF17" i="1" s="1"/>
  <c r="AD18" i="1"/>
  <c r="AF18" i="1" s="1"/>
  <c r="AD19" i="1"/>
  <c r="AF19" i="1" s="1"/>
  <c r="AD20" i="1"/>
  <c r="AF20" i="1" s="1"/>
  <c r="AD21" i="1"/>
  <c r="AD2" i="1"/>
  <c r="AF2" i="1" s="1"/>
  <c r="AA13" i="1"/>
  <c r="Z13" i="1"/>
  <c r="AA5" i="1"/>
  <c r="Z5" i="1"/>
  <c r="AA20" i="1"/>
  <c r="Z20" i="1"/>
  <c r="AF4" i="1"/>
  <c r="AF6" i="1"/>
  <c r="AF21" i="1"/>
  <c r="AF10" i="1"/>
  <c r="AF15" i="1"/>
  <c r="AF16" i="1"/>
  <c r="AA21" i="1"/>
  <c r="Z21" i="1"/>
  <c r="AA19" i="1"/>
  <c r="Z19" i="1"/>
  <c r="AA18" i="1"/>
  <c r="Z18" i="1"/>
  <c r="AA17" i="1"/>
  <c r="Z17" i="1"/>
  <c r="AA14" i="1"/>
  <c r="Z14" i="1"/>
  <c r="AA12" i="1"/>
  <c r="Z12" i="1"/>
  <c r="AA11" i="1"/>
  <c r="Z11" i="1"/>
  <c r="AA9" i="1"/>
  <c r="Z9" i="1"/>
  <c r="AA7" i="1"/>
  <c r="Z7" i="1"/>
  <c r="AA6" i="1"/>
  <c r="Z6" i="1"/>
  <c r="AA4" i="1"/>
  <c r="AA3" i="1"/>
  <c r="Z3" i="1"/>
  <c r="AA2" i="1"/>
  <c r="Z2" i="1"/>
</calcChain>
</file>

<file path=xl/sharedStrings.xml><?xml version="1.0" encoding="utf-8"?>
<sst xmlns="http://schemas.openxmlformats.org/spreadsheetml/2006/main" count="236" uniqueCount="147">
  <si>
    <t>EMPLOYEE NO</t>
  </si>
  <si>
    <t>FUND MEMBERSHIP NUMBER</t>
  </si>
  <si>
    <t>BRANCH / REGION</t>
  </si>
  <si>
    <t>DEPARTMENT</t>
  </si>
  <si>
    <t>TITLE</t>
  </si>
  <si>
    <t>INITIALS</t>
  </si>
  <si>
    <t>FIRST NAMES</t>
  </si>
  <si>
    <t>MIDDLE NAMES</t>
  </si>
  <si>
    <t xml:space="preserve">SURNAME </t>
  </si>
  <si>
    <t>DOB (YYYYMMDD)</t>
  </si>
  <si>
    <t>ID NO</t>
  </si>
  <si>
    <t>PASSPORT NUMBER</t>
  </si>
  <si>
    <t>COUNTRY OF ISSUE PASSPORT</t>
  </si>
  <si>
    <t>CITIZENSHIP</t>
  </si>
  <si>
    <t>TAX COUNTRY</t>
  </si>
  <si>
    <t>LANGUAGE PREF</t>
  </si>
  <si>
    <t>GENDER</t>
  </si>
  <si>
    <t>MEMBER CATEGORY NAME</t>
  </si>
  <si>
    <t>MEMBER CATEGORY ALIAS</t>
  </si>
  <si>
    <t>MARITAL STATUS</t>
  </si>
  <si>
    <t>DATE EMPLOYED (YYYYMMDD)</t>
  </si>
  <si>
    <t>DATE JOINED FUND (YYYYMMDD)</t>
  </si>
  <si>
    <t>EXIT DATE</t>
  </si>
  <si>
    <t>REASON FOR EXIT</t>
  </si>
  <si>
    <t>ANNUAL RISK SALARY</t>
  </si>
  <si>
    <t>MONTHLY RISK SALARY</t>
  </si>
  <si>
    <t>ANNUAL PENSIONABLE  SALARY</t>
  </si>
  <si>
    <t>MONTHLY PENSIONABLE SALARY</t>
  </si>
  <si>
    <t>EMPLOYER CONTRIBUTION %</t>
  </si>
  <si>
    <t>Correct contributions</t>
  </si>
  <si>
    <t>Funeral</t>
  </si>
  <si>
    <t>Total conributions</t>
  </si>
  <si>
    <t>UNIT NR</t>
  </si>
  <si>
    <t>COMPLEX NAME</t>
  </si>
  <si>
    <t>STREET NUMBER</t>
  </si>
  <si>
    <t>STREET NAME</t>
  </si>
  <si>
    <t xml:space="preserve">RESIDENTIAL SUBURB </t>
  </si>
  <si>
    <t>RESIDENTIAL CITY</t>
  </si>
  <si>
    <t xml:space="preserve">RESIDENTIAL POSTAL CODE </t>
  </si>
  <si>
    <t>POSTAL ADDRESS 1 (Street, PO Box or Private Bag)</t>
  </si>
  <si>
    <t>POSTAL ADDRESS 2 (Suburb)</t>
  </si>
  <si>
    <t>POSTAL ADDRESS 3 (City)</t>
  </si>
  <si>
    <t>POSTAL ADDRESS 4 (Country)</t>
  </si>
  <si>
    <t>POSTAL ADDRESS 5 (Postal code)</t>
  </si>
  <si>
    <t>MEMBER CELL NUMBER</t>
  </si>
  <si>
    <t>HOME TEL NR</t>
  </si>
  <si>
    <t>BUSINESS EMAIL ADDRESS</t>
  </si>
  <si>
    <t>PERSONAL EMAIL ADDRESS</t>
  </si>
  <si>
    <t>TAX NUMBER</t>
  </si>
  <si>
    <t>MBR BANK ACCOUNT NAME</t>
  </si>
  <si>
    <t>MBR BANK NAME</t>
  </si>
  <si>
    <t>BANK BRANCH CODE</t>
  </si>
  <si>
    <t>MBR ACCOUNT TYPE</t>
  </si>
  <si>
    <t>MBR ACCOUNT NUMBER</t>
  </si>
  <si>
    <t>NOTES / COMMENTS / REMARKS (HIGHLIGHT ANY CHANGES FROM PRIOR MONTH)</t>
  </si>
  <si>
    <t>Pretoria</t>
  </si>
  <si>
    <t>19741218</t>
  </si>
  <si>
    <t>South African</t>
  </si>
  <si>
    <t>F</t>
  </si>
  <si>
    <t>To Be Provided By Alexforbes</t>
  </si>
  <si>
    <t>M</t>
  </si>
  <si>
    <t>19840625</t>
  </si>
  <si>
    <t>19990614</t>
  </si>
  <si>
    <t>19821107</t>
  </si>
  <si>
    <t>S</t>
  </si>
  <si>
    <t>20021025</t>
  </si>
  <si>
    <t>19990125</t>
  </si>
  <si>
    <t>20030404</t>
  </si>
  <si>
    <t>19800501</t>
  </si>
  <si>
    <t>16101970</t>
  </si>
  <si>
    <t>19650603</t>
  </si>
  <si>
    <t>19850829</t>
  </si>
  <si>
    <t>D</t>
  </si>
  <si>
    <t>20230701</t>
  </si>
  <si>
    <t>19740423</t>
  </si>
  <si>
    <t>19940107</t>
  </si>
  <si>
    <t>19880624</t>
  </si>
  <si>
    <t>19930102</t>
  </si>
  <si>
    <t>Salary Increase</t>
  </si>
  <si>
    <t>Contribution % decreased &amp; salary increase</t>
  </si>
  <si>
    <t>Name 1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</si>
  <si>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</si>
  <si>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</si>
  <si>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</si>
  <si>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</si>
  <si>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</si>
  <si>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</si>
  <si>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</si>
  <si>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</si>
  <si>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</si>
  <si>
    <t>Name 11</t>
  </si>
  <si>
    <t>Name 12</t>
  </si>
  <si>
    <t>Name 13</t>
  </si>
  <si>
    <t>Name 14</t>
  </si>
  <si>
    <t>Name 15</t>
  </si>
  <si>
    <t>Name 16</t>
  </si>
  <si>
    <t>Name 17</t>
  </si>
  <si>
    <t>Name 18</t>
  </si>
  <si>
    <t>Name 19</t>
  </si>
  <si>
    <t>Name 20</t>
  </si>
  <si>
    <t>Surname 1</t>
  </si>
  <si>
    <t>Surname 2</t>
  </si>
  <si>
    <t>Surname 3</t>
  </si>
  <si>
    <t>Surname 4</t>
  </si>
  <si>
    <t>Surname 5</t>
  </si>
  <si>
    <t>Surname 6</t>
  </si>
  <si>
    <t>Surname 7</t>
  </si>
  <si>
    <t>Surname 8</t>
  </si>
  <si>
    <t>Surname 9</t>
  </si>
  <si>
    <t>Surname 10</t>
  </si>
  <si>
    <t>Surname 11</t>
  </si>
  <si>
    <t>Surname 12</t>
  </si>
  <si>
    <t>Surname 13</t>
  </si>
  <si>
    <t>Surname 14</t>
  </si>
  <si>
    <t>Surname 15</t>
  </si>
  <si>
    <t>Surname 16</t>
  </si>
  <si>
    <t>Surname 17</t>
  </si>
  <si>
    <t>Surname 18</t>
  </si>
  <si>
    <t>Surname 19</t>
  </si>
  <si>
    <t>Surname 20</t>
  </si>
  <si>
    <t>ID NO 1</t>
  </si>
  <si>
    <t>ID NO 2</t>
  </si>
  <si>
    <t>ID NO 3</t>
  </si>
  <si>
    <t>ID NO 4</t>
  </si>
  <si>
    <t>ID NO 5</t>
  </si>
  <si>
    <t>ID NO 6</t>
  </si>
  <si>
    <t>ID NO 7</t>
  </si>
  <si>
    <t>ID NO 8</t>
  </si>
  <si>
    <t>ID NO 9</t>
  </si>
  <si>
    <t>ID NO 10</t>
  </si>
  <si>
    <t>ID NO 11</t>
  </si>
  <si>
    <t>ID NO 12</t>
  </si>
  <si>
    <t>ID NO 13</t>
  </si>
  <si>
    <t>ID NO 14</t>
  </si>
  <si>
    <t>ID NO 15</t>
  </si>
  <si>
    <t>ID NO 16</t>
  </si>
  <si>
    <t>ID NO 17</t>
  </si>
  <si>
    <t>ID NO 18</t>
  </si>
  <si>
    <t>ID NO 19</t>
  </si>
  <si>
    <t>ID NO 20</t>
  </si>
  <si>
    <t>example1@test.co.za</t>
  </si>
  <si>
    <t>example2@test.co.za</t>
  </si>
  <si>
    <t>example@test.co.za</t>
  </si>
  <si>
    <t>example3@test.co.za</t>
  </si>
  <si>
    <t>example4@test.co.za</t>
  </si>
  <si>
    <t>example5@test.co.za</t>
  </si>
  <si>
    <t>OFFICETELNR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</si>
</sst>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_ ;[Red]\-#,##0.00\ "/>
    <numFmt numFmtId="165" formatCode="yyyymmdd"/>
    <numFmt numFmtId="166" formatCode="000000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8"/>
      <color rgb="FFFF0000"/>
      <name val="Arial"/>
      <family val="2"/>
    </font>
    <font>
      <u/>
      <sz val="11"/>
      <color theme="1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5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0" fillId="7" borderId="0" xfId="0" applyFill="1"/>
    <xf numFmtId="0" fontId="5" fillId="7" borderId="1" xfId="0" quotePrefix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/>
    <xf numFmtId="0" fontId="0" fillId="0" borderId="1" xfId="0" applyBorder="1"/>
    <xf numFmtId="0" fontId="5" fillId="7" borderId="1" xfId="0" applyFont="1" applyFill="1" applyBorder="1" applyAlignment="1">
      <alignment horizontal="center" vertical="center"/>
    </xf>
    <xf numFmtId="49" fontId="5" fillId="7" borderId="1" xfId="0" quotePrefix="1" applyNumberFormat="1" applyFont="1" applyFill="1" applyBorder="1" applyAlignment="1">
      <alignment horizontal="center" vertical="center"/>
    </xf>
    <xf numFmtId="1" fontId="5" fillId="7" borderId="1" xfId="0" quotePrefix="1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165" fontId="5" fillId="7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164" fontId="0" fillId="7" borderId="1" xfId="0" applyNumberForma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7" borderId="1" xfId="0" quotePrefix="1" applyFill="1" applyBorder="1" applyAlignment="1">
      <alignment horizont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quotePrefix="1" applyNumberFormat="1" applyFont="1" applyBorder="1" applyAlignment="1">
      <alignment horizontal="center" vertical="center"/>
    </xf>
    <xf numFmtId="1" fontId="5" fillId="0" borderId="1" xfId="0" quotePrefix="1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164" fontId="0" fillId="0" borderId="1" xfId="0" applyNumberFormat="1" applyBorder="1"/>
    <xf numFmtId="49" fontId="6" fillId="7" borderId="1" xfId="0" applyNumberFormat="1" applyFont="1" applyFill="1" applyBorder="1" applyAlignment="1">
      <alignment horizontal="center"/>
    </xf>
    <xf numFmtId="1" fontId="0" fillId="7" borderId="1" xfId="0" applyNumberFormat="1" applyFill="1" applyBorder="1"/>
    <xf numFmtId="43" fontId="5" fillId="7" borderId="1" xfId="1" applyFont="1" applyFill="1" applyBorder="1" applyAlignment="1">
      <alignment horizontal="center" vertical="center"/>
    </xf>
    <xf numFmtId="10" fontId="5" fillId="7" borderId="1" xfId="1" applyNumberFormat="1" applyFont="1" applyFill="1" applyBorder="1" applyAlignment="1">
      <alignment horizontal="center" vertical="center"/>
    </xf>
    <xf numFmtId="43" fontId="5" fillId="0" borderId="1" xfId="1" applyFont="1" applyFill="1" applyBorder="1" applyAlignment="1">
      <alignment horizontal="center" vertical="center"/>
    </xf>
    <xf numFmtId="10" fontId="5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1" fontId="0" fillId="0" borderId="1" xfId="0" applyNumberFormat="1" applyBorder="1"/>
    <xf numFmtId="1" fontId="5" fillId="0" borderId="1" xfId="0" applyNumberFormat="1" applyFont="1" applyBorder="1" applyAlignment="1">
      <alignment horizontal="center" vertical="center"/>
    </xf>
    <xf numFmtId="4" fontId="0" fillId="0" borderId="1" xfId="0" applyNumberFormat="1" applyBorder="1"/>
    <xf numFmtId="0" fontId="0" fillId="0" borderId="1" xfId="0" quotePrefix="1" applyBorder="1"/>
    <xf numFmtId="0" fontId="0" fillId="0" borderId="1" xfId="0" applyBorder="1" applyAlignment="1">
      <alignment horizontal="left"/>
    </xf>
    <xf numFmtId="0" fontId="3" fillId="8" borderId="1" xfId="0" applyFont="1" applyFill="1" applyBorder="1" applyAlignment="1">
      <alignment horizontal="center" vertical="center" wrapText="1"/>
    </xf>
    <xf numFmtId="0" fontId="0" fillId="9" borderId="0" xfId="0" applyFill="1"/>
    <xf numFmtId="0" fontId="0" fillId="10" borderId="0" xfId="0" applyFill="1"/>
    <xf numFmtId="43" fontId="0" fillId="0" borderId="0" xfId="0" applyNumberFormat="1"/>
    <xf numFmtId="3" fontId="0" fillId="0" borderId="1" xfId="0" applyNumberFormat="1" applyBorder="1"/>
    <xf numFmtId="43" fontId="0" fillId="7" borderId="1" xfId="0" applyNumberFormat="1" applyFill="1" applyBorder="1" applyAlignment="1">
      <alignment horizontal="center"/>
    </xf>
    <xf numFmtId="0" fontId="4" fillId="7" borderId="1" xfId="3" quotePrefix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 wrapText="1"/>
    </xf>
    <xf numFmtId="166" fontId="0" fillId="7" borderId="1" xfId="0" quotePrefix="1" applyNumberFormat="1" applyFill="1" applyBorder="1" applyAlignment="1">
      <alignment horizontal="center"/>
    </xf>
    <xf numFmtId="166" fontId="0" fillId="0" borderId="0" xfId="0" applyNumberFormat="1"/>
  </cellXfs>
  <cellStyles count="5">
    <cellStyle name="Comma" xfId="1" builtinId="3"/>
    <cellStyle name="Comma 2" xfId="2" xr:uid="{C40D26FE-838D-4E6E-8C58-CF828072B253}"/>
    <cellStyle name="Hyperlink" xfId="3" builtinId="8"/>
    <cellStyle name="Normal" xfId="0" builtinId="0"/>
    <cellStyle name="Normal 2" xfId="4" xr:uid="{E2F97383-071A-4BDD-AFAD-BB773203ED0B}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xample1@test.co.za" TargetMode="External"/><Relationship Id="rId1" Type="http://schemas.openxmlformats.org/officeDocument/2006/relationships/hyperlink" Target="mailto:example1@test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838D-E412-46A3-91BB-B5B2E6C0964C}">
  <dimension ref="A1:DA25"/>
  <sheetViews>
    <sheetView tabSelected="1" topLeftCell="AM1" workbookViewId="0">
      <pane ySplit="1" topLeftCell="A2" activePane="bottomLeft" state="frozen"/>
      <selection pane="bottomLeft" activeCell="AT3" sqref="AT3:AT21"/>
    </sheetView>
  </sheetViews>
  <sheetFormatPr defaultRowHeight="14.4" x14ac:dyDescent="0.3"/>
  <cols>
    <col min="1" max="5" width="16.109375" customWidth="1"/>
    <col min="6" max="6" width="15.6640625" customWidth="1"/>
    <col min="7" max="9" width="16.109375" customWidth="1"/>
    <col min="10" max="10" width="13.6640625" customWidth="1"/>
    <col min="11" max="11" width="17" customWidth="1"/>
    <col min="12" max="20" width="16.109375" customWidth="1"/>
    <col min="21" max="21" width="19" customWidth="1"/>
    <col min="22" max="28" width="16.109375" customWidth="1"/>
    <col min="29" max="29" width="13.77734375" bestFit="1" customWidth="1"/>
    <col min="30" max="45" width="16.109375" customWidth="1"/>
    <col min="46" max="46" width="16.109375" style="57" customWidth="1"/>
    <col min="47" max="47" width="20.88671875" customWidth="1"/>
    <col min="48" max="48" width="25.6640625" customWidth="1"/>
    <col min="49" max="49" width="17.44140625" customWidth="1"/>
    <col min="50" max="56" width="16.109375" customWidth="1"/>
  </cols>
  <sheetData>
    <row r="1" spans="1:105" ht="5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1" t="s">
        <v>20</v>
      </c>
      <c r="V1" s="1" t="s">
        <v>21</v>
      </c>
      <c r="W1" s="5" t="s">
        <v>22</v>
      </c>
      <c r="X1" s="5" t="s">
        <v>23</v>
      </c>
      <c r="Y1" s="7" t="s">
        <v>24</v>
      </c>
      <c r="Z1" s="8" t="s">
        <v>25</v>
      </c>
      <c r="AA1" s="9" t="s">
        <v>26</v>
      </c>
      <c r="AB1" s="8" t="s">
        <v>27</v>
      </c>
      <c r="AC1" s="10" t="s">
        <v>28</v>
      </c>
      <c r="AD1" s="48" t="s">
        <v>29</v>
      </c>
      <c r="AE1" s="48" t="s">
        <v>30</v>
      </c>
      <c r="AF1" s="48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55" t="s">
        <v>146</v>
      </c>
      <c r="AU1" s="5" t="s">
        <v>45</v>
      </c>
      <c r="AV1" s="1" t="s">
        <v>46</v>
      </c>
      <c r="AW1" s="1" t="s">
        <v>47</v>
      </c>
      <c r="AX1" s="1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1" t="s">
        <v>54</v>
      </c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</row>
    <row r="2" spans="1:105" x14ac:dyDescent="0.3">
      <c r="A2" s="12">
        <v>20201001</v>
      </c>
      <c r="B2" s="13"/>
      <c r="C2" s="14" t="s">
        <v>55</v>
      </c>
      <c r="D2" s="14"/>
      <c r="E2" s="15"/>
      <c r="F2" s="16"/>
      <c r="G2" s="16" t="s">
        <v>80</v>
      </c>
      <c r="H2" s="14"/>
      <c r="I2" s="16" t="s">
        <v>100</v>
      </c>
      <c r="J2" s="17" t="s">
        <v>56</v>
      </c>
      <c r="K2" s="18" t="s">
        <v>120</v>
      </c>
      <c r="L2" s="19"/>
      <c r="M2" s="14"/>
      <c r="N2" s="19" t="s">
        <v>57</v>
      </c>
      <c r="O2" s="19"/>
      <c r="P2" s="19"/>
      <c r="Q2" s="16" t="s">
        <v>58</v>
      </c>
      <c r="R2" s="13" t="s">
        <v>59</v>
      </c>
      <c r="S2" s="13" t="s">
        <v>59</v>
      </c>
      <c r="T2" s="16" t="s">
        <v>60</v>
      </c>
      <c r="U2" s="20">
        <v>44105</v>
      </c>
      <c r="V2" s="20">
        <v>44105</v>
      </c>
      <c r="W2" s="21"/>
      <c r="X2" s="15"/>
      <c r="Y2" s="22">
        <v>793728</v>
      </c>
      <c r="Z2" s="22">
        <f>AB2</f>
        <v>66144</v>
      </c>
      <c r="AA2" s="22">
        <f t="shared" ref="AA2:AA7" si="0">AB2*12</f>
        <v>793728</v>
      </c>
      <c r="AB2" s="36">
        <v>66144</v>
      </c>
      <c r="AC2" s="37">
        <v>0.15</v>
      </c>
      <c r="AD2" s="38">
        <f>AB2*AC2</f>
        <v>9921.6</v>
      </c>
      <c r="AE2" s="38">
        <v>25.75</v>
      </c>
      <c r="AF2" s="38">
        <f t="shared" ref="AF2:AF21" si="1">AE2+AD2</f>
        <v>9947.35</v>
      </c>
      <c r="AG2" s="53"/>
      <c r="AH2" s="24"/>
      <c r="AI2" s="19"/>
      <c r="AJ2" s="25"/>
      <c r="AK2" s="24"/>
      <c r="AL2" s="24"/>
      <c r="AM2" s="24"/>
      <c r="AN2" s="14"/>
      <c r="AO2" s="14"/>
      <c r="AP2" s="14"/>
      <c r="AQ2" s="14"/>
      <c r="AR2" s="14"/>
      <c r="AS2" s="26"/>
      <c r="AT2" s="56">
        <v>1234567890</v>
      </c>
      <c r="AU2" s="19"/>
      <c r="AV2" s="54" t="s">
        <v>140</v>
      </c>
      <c r="AW2" s="15"/>
      <c r="AX2" s="18"/>
      <c r="AY2" s="14"/>
      <c r="AZ2" s="14"/>
      <c r="BA2" s="34"/>
      <c r="BB2" s="19"/>
      <c r="BC2" s="35"/>
      <c r="BD2" s="14"/>
    </row>
    <row r="3" spans="1:105" x14ac:dyDescent="0.3">
      <c r="A3" s="12">
        <v>20230502</v>
      </c>
      <c r="B3" s="13"/>
      <c r="C3" s="14" t="s">
        <v>55</v>
      </c>
      <c r="D3" s="14"/>
      <c r="E3" s="15"/>
      <c r="F3" s="16"/>
      <c r="G3" s="16" t="s">
        <v>81</v>
      </c>
      <c r="H3" s="14"/>
      <c r="I3" s="16" t="s">
        <v>101</v>
      </c>
      <c r="J3" s="17" t="s">
        <v>61</v>
      </c>
      <c r="K3" s="18" t="s">
        <v>121</v>
      </c>
      <c r="L3" s="19"/>
      <c r="M3" s="14"/>
      <c r="N3" s="19" t="s">
        <v>57</v>
      </c>
      <c r="O3" s="19"/>
      <c r="P3" s="19"/>
      <c r="Q3" s="16" t="s">
        <v>58</v>
      </c>
      <c r="R3" s="13"/>
      <c r="S3" s="13"/>
      <c r="T3" s="16" t="s">
        <v>60</v>
      </c>
      <c r="U3" s="20">
        <v>45047</v>
      </c>
      <c r="V3" s="20">
        <v>45047</v>
      </c>
      <c r="W3" s="21"/>
      <c r="X3" s="15"/>
      <c r="Y3" s="22">
        <v>727584</v>
      </c>
      <c r="Z3" s="22">
        <f>AB3</f>
        <v>60632</v>
      </c>
      <c r="AA3" s="22">
        <f t="shared" si="0"/>
        <v>727584</v>
      </c>
      <c r="AB3" s="36">
        <v>60632</v>
      </c>
      <c r="AC3" s="37">
        <v>7.0000000000000007E-2</v>
      </c>
      <c r="AD3" s="38">
        <f t="shared" ref="AD3:AD21" si="2">AB3*AC3</f>
        <v>4244.2400000000007</v>
      </c>
      <c r="AE3" s="38">
        <v>25.75</v>
      </c>
      <c r="AF3" s="38">
        <f t="shared" si="1"/>
        <v>4269.9900000000007</v>
      </c>
      <c r="AG3" s="53"/>
      <c r="AH3" s="24"/>
      <c r="AI3" s="19"/>
      <c r="AJ3" s="25"/>
      <c r="AK3" s="24"/>
      <c r="AL3" s="24"/>
      <c r="AM3" s="24"/>
      <c r="AN3" s="14"/>
      <c r="AO3" s="14"/>
      <c r="AP3" s="14"/>
      <c r="AQ3" s="14"/>
      <c r="AR3" s="14"/>
      <c r="AS3" s="26"/>
      <c r="AT3" s="56">
        <v>1234567890</v>
      </c>
      <c r="AU3" s="19"/>
      <c r="AV3" s="54" t="s">
        <v>141</v>
      </c>
      <c r="AW3" s="15"/>
      <c r="AX3" s="18"/>
      <c r="AY3" s="14"/>
      <c r="AZ3" s="14"/>
      <c r="BA3" s="34"/>
      <c r="BB3" s="19"/>
      <c r="BC3" s="35"/>
      <c r="BD3" s="14"/>
    </row>
    <row r="4" spans="1:105" x14ac:dyDescent="0.3">
      <c r="A4" s="27">
        <v>20230901</v>
      </c>
      <c r="B4" s="40"/>
      <c r="C4" s="15" t="s">
        <v>55</v>
      </c>
      <c r="D4" s="15"/>
      <c r="E4" s="15"/>
      <c r="F4" s="28"/>
      <c r="G4" s="16" t="s">
        <v>82</v>
      </c>
      <c r="H4" s="15"/>
      <c r="I4" s="16" t="s">
        <v>102</v>
      </c>
      <c r="J4" s="29" t="s">
        <v>62</v>
      </c>
      <c r="K4" s="18" t="s">
        <v>122</v>
      </c>
      <c r="L4" s="23"/>
      <c r="M4" s="15"/>
      <c r="N4" s="23" t="s">
        <v>57</v>
      </c>
      <c r="O4" s="23"/>
      <c r="P4" s="23"/>
      <c r="Q4" s="28" t="s">
        <v>60</v>
      </c>
      <c r="R4" s="40"/>
      <c r="S4" s="40"/>
      <c r="T4" s="28" t="s">
        <v>60</v>
      </c>
      <c r="U4" s="31">
        <v>45170</v>
      </c>
      <c r="V4" s="31">
        <v>45170</v>
      </c>
      <c r="W4" s="21"/>
      <c r="X4" s="15"/>
      <c r="Y4" s="33">
        <v>456000</v>
      </c>
      <c r="Z4" s="33">
        <v>38100</v>
      </c>
      <c r="AA4" s="33">
        <f t="shared" si="0"/>
        <v>456000</v>
      </c>
      <c r="AB4" s="38">
        <v>38000</v>
      </c>
      <c r="AC4" s="39">
        <v>7.0000000000000007E-2</v>
      </c>
      <c r="AD4" s="38">
        <f t="shared" si="2"/>
        <v>2660.0000000000005</v>
      </c>
      <c r="AE4" s="38">
        <v>25.75</v>
      </c>
      <c r="AF4" s="38">
        <f t="shared" si="1"/>
        <v>2685.7500000000005</v>
      </c>
      <c r="AG4" s="53"/>
      <c r="AH4" s="15"/>
      <c r="AI4" s="23"/>
      <c r="AJ4" s="25"/>
      <c r="AK4" s="24"/>
      <c r="AL4" s="24"/>
      <c r="AM4" s="24"/>
      <c r="AN4" s="15"/>
      <c r="AO4" s="15"/>
      <c r="AP4" s="15"/>
      <c r="AQ4" s="15"/>
      <c r="AR4" s="15"/>
      <c r="AS4" s="41"/>
      <c r="AT4" s="56">
        <v>1234567890</v>
      </c>
      <c r="AU4" s="23"/>
      <c r="AV4" s="54" t="s">
        <v>142</v>
      </c>
      <c r="AW4" s="15"/>
      <c r="AX4" s="30"/>
      <c r="AY4" s="15"/>
      <c r="AZ4" s="15"/>
      <c r="BA4" s="42"/>
      <c r="BB4" s="23"/>
      <c r="BC4" s="43"/>
      <c r="BD4" s="15"/>
    </row>
    <row r="5" spans="1:105" x14ac:dyDescent="0.3">
      <c r="A5" s="27">
        <v>20160706</v>
      </c>
      <c r="B5" s="40"/>
      <c r="C5" s="15" t="s">
        <v>55</v>
      </c>
      <c r="D5" s="15"/>
      <c r="E5" s="15"/>
      <c r="F5" s="28"/>
      <c r="G5" s="16" t="s">
        <v>83</v>
      </c>
      <c r="H5" s="15"/>
      <c r="I5" s="16" t="s">
        <v>103</v>
      </c>
      <c r="J5" s="29" t="s">
        <v>76</v>
      </c>
      <c r="K5" s="18" t="s">
        <v>123</v>
      </c>
      <c r="L5" s="23"/>
      <c r="M5" s="15"/>
      <c r="N5" s="23" t="s">
        <v>57</v>
      </c>
      <c r="O5" s="23"/>
      <c r="P5" s="23"/>
      <c r="Q5" s="28" t="s">
        <v>58</v>
      </c>
      <c r="R5" s="40"/>
      <c r="S5" s="40"/>
      <c r="T5" s="28" t="s">
        <v>60</v>
      </c>
      <c r="U5" s="31">
        <v>41834</v>
      </c>
      <c r="V5" s="31">
        <v>41834</v>
      </c>
      <c r="W5" s="21"/>
      <c r="X5" s="15"/>
      <c r="Y5" s="33">
        <v>600000</v>
      </c>
      <c r="Z5" s="33">
        <f>AB5</f>
        <v>50000</v>
      </c>
      <c r="AA5" s="33">
        <f t="shared" si="0"/>
        <v>600000</v>
      </c>
      <c r="AB5" s="38">
        <v>50000</v>
      </c>
      <c r="AC5" s="39">
        <v>7.0000000000000007E-2</v>
      </c>
      <c r="AD5" s="38">
        <f t="shared" si="2"/>
        <v>3500.0000000000005</v>
      </c>
      <c r="AE5" s="38">
        <v>25.75</v>
      </c>
      <c r="AF5" s="38">
        <f t="shared" si="1"/>
        <v>3525.7500000000005</v>
      </c>
      <c r="AG5" s="53"/>
      <c r="AH5" s="15"/>
      <c r="AI5" s="23"/>
      <c r="AJ5" s="25"/>
      <c r="AK5" s="24"/>
      <c r="AL5" s="24"/>
      <c r="AM5" s="32"/>
      <c r="AN5" s="15"/>
      <c r="AO5" s="15"/>
      <c r="AP5" s="15"/>
      <c r="AQ5" s="15"/>
      <c r="AR5" s="15"/>
      <c r="AS5" s="41"/>
      <c r="AT5" s="56">
        <v>1234567890</v>
      </c>
      <c r="AU5" s="23"/>
      <c r="AV5" s="54" t="s">
        <v>143</v>
      </c>
      <c r="AW5" s="15"/>
      <c r="AX5" s="30"/>
      <c r="AY5" s="15"/>
      <c r="AZ5" s="15"/>
      <c r="BA5" s="42"/>
      <c r="BB5" s="23"/>
      <c r="BC5" s="43"/>
      <c r="BD5" s="15"/>
    </row>
    <row r="6" spans="1:105" x14ac:dyDescent="0.3">
      <c r="A6" s="27">
        <v>20241101</v>
      </c>
      <c r="B6" s="13"/>
      <c r="C6" s="14" t="s">
        <v>55</v>
      </c>
      <c r="D6" s="14"/>
      <c r="E6" s="15"/>
      <c r="F6" s="28"/>
      <c r="G6" s="16" t="s">
        <v>84</v>
      </c>
      <c r="H6" s="14"/>
      <c r="I6" s="16" t="s">
        <v>104</v>
      </c>
      <c r="J6" s="29" t="s">
        <v>63</v>
      </c>
      <c r="K6" s="18" t="s">
        <v>124</v>
      </c>
      <c r="L6" s="19"/>
      <c r="M6" s="14"/>
      <c r="N6" s="19" t="s">
        <v>57</v>
      </c>
      <c r="O6" s="19"/>
      <c r="P6" s="19"/>
      <c r="Q6" s="28" t="s">
        <v>58</v>
      </c>
      <c r="R6" s="13"/>
      <c r="S6" s="13"/>
      <c r="T6" s="28" t="s">
        <v>64</v>
      </c>
      <c r="U6" s="31">
        <v>45597</v>
      </c>
      <c r="V6" s="31">
        <v>45597</v>
      </c>
      <c r="W6" s="21"/>
      <c r="X6" s="15"/>
      <c r="Y6" s="22">
        <v>399360</v>
      </c>
      <c r="Z6" s="22">
        <f>AB6</f>
        <v>33280</v>
      </c>
      <c r="AA6" s="22">
        <f t="shared" si="0"/>
        <v>399360</v>
      </c>
      <c r="AB6" s="36">
        <v>33280</v>
      </c>
      <c r="AC6" s="39">
        <v>7.0000000000000007E-2</v>
      </c>
      <c r="AD6" s="38">
        <f t="shared" si="2"/>
        <v>2329.6000000000004</v>
      </c>
      <c r="AE6" s="38">
        <v>25.75</v>
      </c>
      <c r="AF6" s="38">
        <f t="shared" si="1"/>
        <v>2355.3500000000004</v>
      </c>
      <c r="AG6" s="53"/>
      <c r="AH6" s="14"/>
      <c r="AI6" s="19"/>
      <c r="AJ6" s="25"/>
      <c r="AK6" s="24"/>
      <c r="AL6" s="24"/>
      <c r="AM6" s="32"/>
      <c r="AN6" s="14"/>
      <c r="AO6" s="14"/>
      <c r="AP6" s="14"/>
      <c r="AQ6" s="14"/>
      <c r="AR6" s="14"/>
      <c r="AS6" s="26"/>
      <c r="AT6" s="56">
        <v>1234567890</v>
      </c>
      <c r="AU6" s="19"/>
      <c r="AV6" s="54" t="s">
        <v>144</v>
      </c>
      <c r="AW6" s="15"/>
      <c r="AX6" s="30"/>
      <c r="AY6" s="14"/>
      <c r="AZ6" s="14"/>
      <c r="BA6" s="34"/>
      <c r="BB6" s="19"/>
      <c r="BC6" s="35"/>
      <c r="BD6" s="14"/>
    </row>
    <row r="7" spans="1:105" x14ac:dyDescent="0.3">
      <c r="A7" s="27">
        <v>20230201</v>
      </c>
      <c r="B7" s="13"/>
      <c r="C7" s="14" t="s">
        <v>55</v>
      </c>
      <c r="D7" s="14"/>
      <c r="E7" s="15"/>
      <c r="F7" s="28"/>
      <c r="G7" s="16" t="s">
        <v>85</v>
      </c>
      <c r="H7" s="14"/>
      <c r="I7" s="16" t="s">
        <v>105</v>
      </c>
      <c r="J7" s="29" t="s">
        <v>65</v>
      </c>
      <c r="K7" s="18" t="s">
        <v>125</v>
      </c>
      <c r="L7" s="19"/>
      <c r="M7" s="14"/>
      <c r="N7" s="19" t="s">
        <v>57</v>
      </c>
      <c r="O7" s="19"/>
      <c r="P7" s="19"/>
      <c r="Q7" s="28" t="s">
        <v>60</v>
      </c>
      <c r="R7" s="13"/>
      <c r="S7" s="13"/>
      <c r="T7" s="28" t="s">
        <v>64</v>
      </c>
      <c r="U7" s="31">
        <v>44958</v>
      </c>
      <c r="V7" s="31">
        <v>44958</v>
      </c>
      <c r="W7" s="21"/>
      <c r="X7" s="15"/>
      <c r="Y7" s="22">
        <v>156000</v>
      </c>
      <c r="Z7" s="22">
        <f>AB7</f>
        <v>13000</v>
      </c>
      <c r="AA7" s="22">
        <f t="shared" si="0"/>
        <v>156000</v>
      </c>
      <c r="AB7" s="36">
        <v>13000</v>
      </c>
      <c r="AC7" s="39">
        <v>7.0000000000000007E-2</v>
      </c>
      <c r="AD7" s="38">
        <f t="shared" si="2"/>
        <v>910.00000000000011</v>
      </c>
      <c r="AE7" s="38">
        <v>25.75</v>
      </c>
      <c r="AF7" s="38">
        <f t="shared" si="1"/>
        <v>935.75000000000011</v>
      </c>
      <c r="AG7" s="53"/>
      <c r="AH7" s="14"/>
      <c r="AI7" s="19"/>
      <c r="AJ7" s="25"/>
      <c r="AK7" s="24"/>
      <c r="AL7" s="24"/>
      <c r="AM7" s="24"/>
      <c r="AN7" s="14"/>
      <c r="AO7" s="14"/>
      <c r="AP7" s="14"/>
      <c r="AQ7" s="14"/>
      <c r="AR7" s="14"/>
      <c r="AS7" s="26"/>
      <c r="AT7" s="56">
        <v>1234567890</v>
      </c>
      <c r="AU7" s="19"/>
      <c r="AV7" s="54" t="s">
        <v>145</v>
      </c>
      <c r="AW7" s="15"/>
      <c r="AX7" s="30"/>
      <c r="AY7" s="14"/>
      <c r="AZ7" s="14"/>
      <c r="BA7" s="34"/>
      <c r="BB7" s="19"/>
      <c r="BC7" s="35"/>
      <c r="BD7" s="14"/>
    </row>
    <row r="8" spans="1:105" x14ac:dyDescent="0.3">
      <c r="A8" s="23">
        <v>20251001</v>
      </c>
      <c r="B8" s="15"/>
      <c r="C8" s="15" t="s">
        <v>55</v>
      </c>
      <c r="D8" s="15"/>
      <c r="E8" s="15"/>
      <c r="F8" s="23"/>
      <c r="G8" s="16" t="s">
        <v>86</v>
      </c>
      <c r="H8" s="15"/>
      <c r="I8" s="16" t="s">
        <v>106</v>
      </c>
      <c r="J8" s="23">
        <v>19910727</v>
      </c>
      <c r="K8" s="18" t="s">
        <v>126</v>
      </c>
      <c r="L8" s="15"/>
      <c r="M8" s="15"/>
      <c r="N8" s="23" t="s">
        <v>57</v>
      </c>
      <c r="O8" s="15"/>
      <c r="P8" s="15"/>
      <c r="Q8" s="28" t="s">
        <v>58</v>
      </c>
      <c r="R8" s="15"/>
      <c r="S8" s="15"/>
      <c r="T8" s="28" t="s">
        <v>60</v>
      </c>
      <c r="U8" s="44">
        <v>20251001</v>
      </c>
      <c r="V8" s="44">
        <v>20251001</v>
      </c>
      <c r="W8" s="15"/>
      <c r="X8" s="15"/>
      <c r="Y8" s="45">
        <v>240000</v>
      </c>
      <c r="Z8" s="52">
        <v>20000</v>
      </c>
      <c r="AA8" s="45">
        <v>240000</v>
      </c>
      <c r="AB8" s="52">
        <v>20000</v>
      </c>
      <c r="AC8" s="39">
        <v>7.0000000000000007E-2</v>
      </c>
      <c r="AD8" s="38">
        <f t="shared" si="2"/>
        <v>1400.0000000000002</v>
      </c>
      <c r="AE8" s="38">
        <v>25.75</v>
      </c>
      <c r="AF8" s="38">
        <f t="shared" si="1"/>
        <v>1425.7500000000002</v>
      </c>
      <c r="AG8" s="53"/>
      <c r="AH8" s="15"/>
      <c r="AI8" s="23"/>
      <c r="AJ8" s="15"/>
      <c r="AK8" s="15"/>
      <c r="AL8" s="15"/>
      <c r="AM8" s="46"/>
      <c r="AN8" s="15"/>
      <c r="AO8" s="15"/>
      <c r="AP8" s="15"/>
      <c r="AQ8" s="15"/>
      <c r="AR8" s="15"/>
      <c r="AS8" s="41"/>
      <c r="AT8" s="56">
        <v>1234567890</v>
      </c>
      <c r="AU8" s="15"/>
      <c r="AV8" s="54" t="s">
        <v>140</v>
      </c>
      <c r="AW8" s="15"/>
      <c r="AX8" s="23"/>
      <c r="AY8" s="15"/>
      <c r="AZ8" s="15"/>
      <c r="BA8" s="15"/>
      <c r="BB8" s="15"/>
      <c r="BC8" s="15"/>
      <c r="BD8" s="15"/>
    </row>
    <row r="9" spans="1:105" x14ac:dyDescent="0.3">
      <c r="A9" s="27">
        <v>20231103</v>
      </c>
      <c r="B9" s="13"/>
      <c r="C9" s="14" t="s">
        <v>55</v>
      </c>
      <c r="D9" s="14"/>
      <c r="E9" s="15"/>
      <c r="F9" s="28"/>
      <c r="G9" s="16" t="s">
        <v>87</v>
      </c>
      <c r="H9" s="14"/>
      <c r="I9" s="16" t="s">
        <v>107</v>
      </c>
      <c r="J9" s="29" t="s">
        <v>66</v>
      </c>
      <c r="K9" s="18" t="s">
        <v>127</v>
      </c>
      <c r="L9" s="19"/>
      <c r="M9" s="14"/>
      <c r="N9" s="19" t="s">
        <v>57</v>
      </c>
      <c r="O9" s="19"/>
      <c r="P9" s="19"/>
      <c r="Q9" s="28" t="s">
        <v>58</v>
      </c>
      <c r="R9" s="13"/>
      <c r="S9" s="13"/>
      <c r="T9" s="28" t="s">
        <v>64</v>
      </c>
      <c r="U9" s="31">
        <v>45231</v>
      </c>
      <c r="V9" s="31">
        <v>45231</v>
      </c>
      <c r="W9" s="21"/>
      <c r="X9" s="15"/>
      <c r="Y9" s="22">
        <v>321984</v>
      </c>
      <c r="Z9" s="22">
        <f>AB9</f>
        <v>26832</v>
      </c>
      <c r="AA9" s="22">
        <f>AB9*12</f>
        <v>321984</v>
      </c>
      <c r="AB9" s="36">
        <v>26832</v>
      </c>
      <c r="AC9" s="39">
        <v>7.0000000000000007E-2</v>
      </c>
      <c r="AD9" s="38">
        <f t="shared" si="2"/>
        <v>1878.2400000000002</v>
      </c>
      <c r="AE9" s="38">
        <v>25.75</v>
      </c>
      <c r="AF9" s="38">
        <f t="shared" si="1"/>
        <v>1903.9900000000002</v>
      </c>
      <c r="AG9" s="53"/>
      <c r="AH9" s="14"/>
      <c r="AI9" s="19"/>
      <c r="AJ9" s="25"/>
      <c r="AK9" s="24"/>
      <c r="AL9" s="24"/>
      <c r="AM9" s="24"/>
      <c r="AN9" s="14"/>
      <c r="AO9" s="14"/>
      <c r="AP9" s="14"/>
      <c r="AQ9" s="14"/>
      <c r="AR9" s="14"/>
      <c r="AS9" s="26"/>
      <c r="AT9" s="56">
        <v>1234567890</v>
      </c>
      <c r="AU9" s="19"/>
      <c r="AV9" s="54" t="s">
        <v>140</v>
      </c>
      <c r="AW9" s="15"/>
      <c r="AX9" s="30"/>
      <c r="AY9" s="14"/>
      <c r="AZ9" s="14"/>
      <c r="BA9" s="34"/>
      <c r="BB9" s="19"/>
      <c r="BC9" s="35"/>
      <c r="BD9" s="14"/>
    </row>
    <row r="10" spans="1:105" x14ac:dyDescent="0.3">
      <c r="A10" s="28">
        <v>20250401</v>
      </c>
      <c r="B10" s="15"/>
      <c r="C10" s="15" t="s">
        <v>55</v>
      </c>
      <c r="D10" s="15"/>
      <c r="E10" s="15"/>
      <c r="F10" s="28"/>
      <c r="G10" s="16" t="s">
        <v>88</v>
      </c>
      <c r="H10" s="23"/>
      <c r="I10" s="16" t="s">
        <v>108</v>
      </c>
      <c r="J10" s="23">
        <v>19941123</v>
      </c>
      <c r="K10" s="18" t="s">
        <v>128</v>
      </c>
      <c r="L10" s="15"/>
      <c r="M10" s="15"/>
      <c r="N10" s="23" t="s">
        <v>57</v>
      </c>
      <c r="O10" s="15"/>
      <c r="P10" s="15"/>
      <c r="Q10" s="28" t="s">
        <v>60</v>
      </c>
      <c r="R10" s="15"/>
      <c r="S10" s="15"/>
      <c r="T10" s="28" t="s">
        <v>64</v>
      </c>
      <c r="U10" s="44">
        <v>20250401</v>
      </c>
      <c r="V10" s="44">
        <v>20250401</v>
      </c>
      <c r="W10" s="15"/>
      <c r="X10" s="15"/>
      <c r="Y10" s="45">
        <v>384000</v>
      </c>
      <c r="Z10" s="45">
        <v>32000</v>
      </c>
      <c r="AA10" s="45">
        <v>384000</v>
      </c>
      <c r="AB10" s="45">
        <v>32000</v>
      </c>
      <c r="AC10" s="39">
        <v>7.0000000000000007E-2</v>
      </c>
      <c r="AD10" s="38">
        <f t="shared" si="2"/>
        <v>2240</v>
      </c>
      <c r="AE10" s="38">
        <v>25.75</v>
      </c>
      <c r="AF10" s="38">
        <f t="shared" si="1"/>
        <v>2265.75</v>
      </c>
      <c r="AG10" s="53"/>
      <c r="AH10" s="15"/>
      <c r="AI10" s="23"/>
      <c r="AJ10" s="15"/>
      <c r="AK10" s="15"/>
      <c r="AL10" s="15"/>
      <c r="AM10" s="46"/>
      <c r="AN10" s="15"/>
      <c r="AO10" s="15"/>
      <c r="AP10" s="15"/>
      <c r="AQ10" s="15"/>
      <c r="AR10" s="15"/>
      <c r="AS10" s="41"/>
      <c r="AT10" s="56">
        <v>1234567890</v>
      </c>
      <c r="AU10" s="15"/>
      <c r="AV10" s="54" t="s">
        <v>140</v>
      </c>
      <c r="AW10" s="15"/>
      <c r="AX10" s="23"/>
      <c r="AY10" s="15"/>
      <c r="AZ10" s="15"/>
      <c r="BA10" s="15"/>
      <c r="BB10" s="15"/>
      <c r="BC10" s="15"/>
      <c r="BD10" s="15"/>
    </row>
    <row r="11" spans="1:105" x14ac:dyDescent="0.3">
      <c r="A11" s="27">
        <v>20240201</v>
      </c>
      <c r="B11" s="13"/>
      <c r="C11" s="14" t="s">
        <v>55</v>
      </c>
      <c r="D11" s="14"/>
      <c r="E11" s="15"/>
      <c r="F11" s="28"/>
      <c r="G11" s="16" t="s">
        <v>89</v>
      </c>
      <c r="H11" s="14"/>
      <c r="I11" s="16" t="s">
        <v>109</v>
      </c>
      <c r="J11" s="29" t="s">
        <v>67</v>
      </c>
      <c r="K11" s="18" t="s">
        <v>129</v>
      </c>
      <c r="L11" s="19"/>
      <c r="M11" s="14"/>
      <c r="N11" s="19" t="s">
        <v>57</v>
      </c>
      <c r="O11" s="19"/>
      <c r="P11" s="19"/>
      <c r="Q11" s="28" t="s">
        <v>60</v>
      </c>
      <c r="R11" s="13"/>
      <c r="S11" s="13"/>
      <c r="T11" s="28" t="s">
        <v>64</v>
      </c>
      <c r="U11" s="31">
        <v>45323</v>
      </c>
      <c r="V11" s="31">
        <v>45323</v>
      </c>
      <c r="W11" s="21"/>
      <c r="X11" s="15"/>
      <c r="Y11" s="22">
        <v>187200</v>
      </c>
      <c r="Z11" s="22">
        <f>AB11</f>
        <v>15600</v>
      </c>
      <c r="AA11" s="22">
        <f>AB11*12</f>
        <v>187200</v>
      </c>
      <c r="AB11" s="36">
        <v>15600</v>
      </c>
      <c r="AC11" s="39">
        <v>7.0000000000000007E-2</v>
      </c>
      <c r="AD11" s="38">
        <f t="shared" si="2"/>
        <v>1092</v>
      </c>
      <c r="AE11" s="38">
        <v>25.75</v>
      </c>
      <c r="AF11" s="38">
        <f t="shared" si="1"/>
        <v>1117.75</v>
      </c>
      <c r="AG11" s="53"/>
      <c r="AH11" s="14"/>
      <c r="AI11" s="19"/>
      <c r="AJ11" s="25"/>
      <c r="AK11" s="24"/>
      <c r="AL11" s="24"/>
      <c r="AM11" s="24"/>
      <c r="AN11" s="14"/>
      <c r="AO11" s="14"/>
      <c r="AP11" s="14"/>
      <c r="AQ11" s="14"/>
      <c r="AR11" s="14"/>
      <c r="AS11" s="26"/>
      <c r="AT11" s="56">
        <v>1234567890</v>
      </c>
      <c r="AU11" s="19"/>
      <c r="AV11" s="54" t="s">
        <v>140</v>
      </c>
      <c r="AW11" s="15"/>
      <c r="AX11" s="30"/>
      <c r="AY11" s="14"/>
      <c r="AZ11" s="14"/>
      <c r="BA11" s="34"/>
      <c r="BB11" s="19"/>
      <c r="BC11" s="35"/>
      <c r="BD11" s="14"/>
    </row>
    <row r="12" spans="1:105" x14ac:dyDescent="0.3">
      <c r="A12" s="12">
        <v>20211204</v>
      </c>
      <c r="B12" s="13"/>
      <c r="C12" s="14" t="s">
        <v>55</v>
      </c>
      <c r="D12" s="14"/>
      <c r="E12" s="15"/>
      <c r="F12" s="16"/>
      <c r="G12" s="16" t="s">
        <v>90</v>
      </c>
      <c r="H12" s="14"/>
      <c r="I12" s="16" t="s">
        <v>110</v>
      </c>
      <c r="J12" s="17" t="s">
        <v>68</v>
      </c>
      <c r="K12" s="18" t="s">
        <v>130</v>
      </c>
      <c r="L12" s="19"/>
      <c r="M12" s="14"/>
      <c r="N12" s="19" t="s">
        <v>57</v>
      </c>
      <c r="O12" s="19"/>
      <c r="P12" s="19"/>
      <c r="Q12" s="16" t="s">
        <v>58</v>
      </c>
      <c r="R12" s="13"/>
      <c r="S12" s="13"/>
      <c r="T12" s="16" t="s">
        <v>60</v>
      </c>
      <c r="U12" s="20">
        <v>44774</v>
      </c>
      <c r="V12" s="20">
        <v>44774</v>
      </c>
      <c r="W12" s="21"/>
      <c r="X12" s="15"/>
      <c r="Y12" s="22">
        <v>771239.04</v>
      </c>
      <c r="Z12" s="22">
        <f>AB12</f>
        <v>64269.920000000006</v>
      </c>
      <c r="AA12" s="22">
        <f>AB12*12</f>
        <v>771239.04</v>
      </c>
      <c r="AB12" s="36">
        <v>64269.920000000006</v>
      </c>
      <c r="AC12" s="37">
        <v>0.15</v>
      </c>
      <c r="AD12" s="38">
        <f t="shared" si="2"/>
        <v>9640.4880000000012</v>
      </c>
      <c r="AE12" s="38">
        <v>25.75</v>
      </c>
      <c r="AF12" s="38">
        <f t="shared" si="1"/>
        <v>9666.2380000000012</v>
      </c>
      <c r="AG12" s="53"/>
      <c r="AH12" s="14"/>
      <c r="AI12" s="19"/>
      <c r="AJ12" s="25"/>
      <c r="AK12" s="24"/>
      <c r="AL12" s="24"/>
      <c r="AM12" s="24"/>
      <c r="AN12" s="14"/>
      <c r="AO12" s="14"/>
      <c r="AP12" s="14"/>
      <c r="AQ12" s="14"/>
      <c r="AR12" s="14"/>
      <c r="AS12" s="26"/>
      <c r="AT12" s="56">
        <v>1234567890</v>
      </c>
      <c r="AU12" s="19"/>
      <c r="AV12" s="54" t="s">
        <v>140</v>
      </c>
      <c r="AW12" s="15"/>
      <c r="AX12" s="18"/>
      <c r="AY12" s="14"/>
      <c r="AZ12" s="14"/>
      <c r="BA12" s="34"/>
      <c r="BB12" s="19"/>
      <c r="BC12" s="35"/>
      <c r="BD12" s="14"/>
    </row>
    <row r="13" spans="1:105" x14ac:dyDescent="0.3">
      <c r="A13" s="27">
        <v>20190313</v>
      </c>
      <c r="B13" s="40"/>
      <c r="C13" s="15" t="s">
        <v>55</v>
      </c>
      <c r="D13" s="15"/>
      <c r="E13" s="15"/>
      <c r="F13" s="28"/>
      <c r="G13" s="16" t="s">
        <v>91</v>
      </c>
      <c r="H13" s="15"/>
      <c r="I13" s="16" t="s">
        <v>111</v>
      </c>
      <c r="J13" s="29" t="s">
        <v>77</v>
      </c>
      <c r="K13" s="18" t="s">
        <v>131</v>
      </c>
      <c r="L13" s="23"/>
      <c r="M13" s="15"/>
      <c r="N13" s="23" t="s">
        <v>57</v>
      </c>
      <c r="O13" s="23"/>
      <c r="P13" s="23"/>
      <c r="Q13" s="28" t="s">
        <v>60</v>
      </c>
      <c r="R13" s="40"/>
      <c r="S13" s="40"/>
      <c r="T13" s="28" t="s">
        <v>60</v>
      </c>
      <c r="U13" s="31">
        <v>42567</v>
      </c>
      <c r="V13" s="31">
        <v>42567</v>
      </c>
      <c r="W13" s="21"/>
      <c r="X13" s="15"/>
      <c r="Y13" s="33">
        <v>595296</v>
      </c>
      <c r="Z13" s="33">
        <f>AB13</f>
        <v>49608</v>
      </c>
      <c r="AA13" s="33">
        <f>AB13*12</f>
        <v>595296</v>
      </c>
      <c r="AB13" s="38">
        <v>49608</v>
      </c>
      <c r="AC13" s="39">
        <v>0.15</v>
      </c>
      <c r="AD13" s="38">
        <f t="shared" si="2"/>
        <v>7441.2</v>
      </c>
      <c r="AE13" s="38">
        <v>25.75</v>
      </c>
      <c r="AF13" s="38">
        <f t="shared" si="1"/>
        <v>7466.95</v>
      </c>
      <c r="AG13" s="53"/>
      <c r="AH13" s="15"/>
      <c r="AI13" s="23"/>
      <c r="AJ13" s="25"/>
      <c r="AK13" s="24"/>
      <c r="AL13" s="24"/>
      <c r="AM13" s="24"/>
      <c r="AN13" s="15"/>
      <c r="AO13" s="15"/>
      <c r="AP13" s="15"/>
      <c r="AQ13" s="15"/>
      <c r="AR13" s="15"/>
      <c r="AS13" s="41"/>
      <c r="AT13" s="56">
        <v>1234567890</v>
      </c>
      <c r="AU13" s="23"/>
      <c r="AV13" s="54" t="s">
        <v>140</v>
      </c>
      <c r="AW13" s="15"/>
      <c r="AX13" s="30"/>
      <c r="AY13" s="15"/>
      <c r="AZ13" s="15"/>
      <c r="BA13" s="42"/>
      <c r="BB13" s="23"/>
      <c r="BC13" s="43"/>
      <c r="BD13" s="15"/>
    </row>
    <row r="14" spans="1:105" x14ac:dyDescent="0.3">
      <c r="A14" s="12">
        <v>20221102</v>
      </c>
      <c r="B14" s="13"/>
      <c r="C14" s="14" t="s">
        <v>55</v>
      </c>
      <c r="D14" s="14"/>
      <c r="E14" s="15"/>
      <c r="F14" s="16"/>
      <c r="G14" s="16" t="s">
        <v>92</v>
      </c>
      <c r="H14" s="14"/>
      <c r="I14" s="16" t="s">
        <v>112</v>
      </c>
      <c r="J14" s="17" t="s">
        <v>69</v>
      </c>
      <c r="K14" s="18" t="s">
        <v>132</v>
      </c>
      <c r="L14" s="19"/>
      <c r="M14" s="14"/>
      <c r="N14" s="19" t="s">
        <v>57</v>
      </c>
      <c r="O14" s="19"/>
      <c r="P14" s="19"/>
      <c r="Q14" s="16" t="s">
        <v>58</v>
      </c>
      <c r="R14" s="13"/>
      <c r="S14" s="13"/>
      <c r="T14" s="16" t="s">
        <v>64</v>
      </c>
      <c r="U14" s="20">
        <v>44886</v>
      </c>
      <c r="V14" s="20">
        <v>44886</v>
      </c>
      <c r="W14" s="21"/>
      <c r="X14" s="15"/>
      <c r="Y14" s="22">
        <v>476236.80000000005</v>
      </c>
      <c r="Z14" s="22">
        <f>AB14</f>
        <v>39686.400000000001</v>
      </c>
      <c r="AA14" s="22">
        <f>AB14*12</f>
        <v>476236.80000000005</v>
      </c>
      <c r="AB14" s="36">
        <v>39686.400000000001</v>
      </c>
      <c r="AC14" s="37">
        <v>0.15</v>
      </c>
      <c r="AD14" s="38">
        <f t="shared" si="2"/>
        <v>5952.96</v>
      </c>
      <c r="AE14" s="38">
        <v>25.75</v>
      </c>
      <c r="AF14" s="38">
        <f t="shared" si="1"/>
        <v>5978.71</v>
      </c>
      <c r="AG14" s="53"/>
      <c r="AH14" s="14"/>
      <c r="AI14" s="19"/>
      <c r="AJ14" s="25"/>
      <c r="AK14" s="24"/>
      <c r="AL14" s="24"/>
      <c r="AM14" s="24"/>
      <c r="AN14" s="14"/>
      <c r="AO14" s="14"/>
      <c r="AP14" s="14"/>
      <c r="AQ14" s="14"/>
      <c r="AR14" s="14"/>
      <c r="AS14" s="26"/>
      <c r="AT14" s="56">
        <v>1234567890</v>
      </c>
      <c r="AU14" s="19"/>
      <c r="AV14" s="54" t="s">
        <v>140</v>
      </c>
      <c r="AW14" s="15"/>
      <c r="AX14" s="18"/>
      <c r="AY14" s="14"/>
      <c r="AZ14" s="14"/>
      <c r="BA14" s="34"/>
      <c r="BB14" s="19"/>
      <c r="BC14" s="35"/>
      <c r="BD14" s="14"/>
    </row>
    <row r="15" spans="1:105" x14ac:dyDescent="0.3">
      <c r="A15" s="28">
        <v>20250603</v>
      </c>
      <c r="B15" s="15"/>
      <c r="C15" s="15" t="s">
        <v>55</v>
      </c>
      <c r="D15" s="15"/>
      <c r="E15" s="15"/>
      <c r="F15" s="28"/>
      <c r="G15" s="16" t="s">
        <v>93</v>
      </c>
      <c r="H15" s="15"/>
      <c r="I15" s="16" t="s">
        <v>113</v>
      </c>
      <c r="J15" s="23">
        <v>20031223</v>
      </c>
      <c r="K15" s="18" t="s">
        <v>133</v>
      </c>
      <c r="L15" s="15"/>
      <c r="M15" s="15"/>
      <c r="N15" s="23" t="s">
        <v>57</v>
      </c>
      <c r="O15" s="15"/>
      <c r="P15" s="15"/>
      <c r="Q15" s="28" t="s">
        <v>58</v>
      </c>
      <c r="R15" s="15"/>
      <c r="S15" s="15"/>
      <c r="T15" s="28" t="s">
        <v>64</v>
      </c>
      <c r="U15" s="44">
        <v>20250603</v>
      </c>
      <c r="V15" s="44">
        <v>20250603</v>
      </c>
      <c r="W15" s="15"/>
      <c r="X15" s="15"/>
      <c r="Y15" s="33">
        <v>180000</v>
      </c>
      <c r="Z15" s="15">
        <v>15000</v>
      </c>
      <c r="AA15" s="15">
        <v>180000</v>
      </c>
      <c r="AB15" s="38">
        <v>15000</v>
      </c>
      <c r="AC15" s="39">
        <v>7.0000000000000007E-2</v>
      </c>
      <c r="AD15" s="38">
        <f t="shared" si="2"/>
        <v>1050</v>
      </c>
      <c r="AE15" s="38">
        <v>25.75</v>
      </c>
      <c r="AF15" s="38">
        <f t="shared" si="1"/>
        <v>1075.75</v>
      </c>
      <c r="AG15" s="53"/>
      <c r="AH15" s="15"/>
      <c r="AI15" s="23"/>
      <c r="AJ15" s="25"/>
      <c r="AK15" s="24"/>
      <c r="AL15" s="24"/>
      <c r="AM15" s="32"/>
      <c r="AN15" s="15"/>
      <c r="AO15" s="15"/>
      <c r="AP15" s="15"/>
      <c r="AQ15" s="15"/>
      <c r="AR15" s="15"/>
      <c r="AS15" s="23"/>
      <c r="AT15" s="56">
        <v>1234567890</v>
      </c>
      <c r="AU15" s="15"/>
      <c r="AV15" s="54" t="s">
        <v>140</v>
      </c>
      <c r="AW15" s="15"/>
      <c r="AX15" s="23"/>
      <c r="AY15" s="15"/>
      <c r="AZ15" s="15"/>
      <c r="BA15" s="15"/>
      <c r="BB15" s="15"/>
      <c r="BC15" s="15"/>
      <c r="BD15" s="15"/>
    </row>
    <row r="16" spans="1:105" x14ac:dyDescent="0.3">
      <c r="A16" s="23">
        <v>20250604</v>
      </c>
      <c r="B16" s="15"/>
      <c r="C16" s="15" t="s">
        <v>55</v>
      </c>
      <c r="D16" s="15"/>
      <c r="E16" s="15"/>
      <c r="F16" s="28"/>
      <c r="G16" s="16" t="s">
        <v>94</v>
      </c>
      <c r="H16" s="15"/>
      <c r="I16" s="16" t="s">
        <v>114</v>
      </c>
      <c r="J16" s="23">
        <v>20020531</v>
      </c>
      <c r="K16" s="18" t="s">
        <v>134</v>
      </c>
      <c r="L16" s="15"/>
      <c r="M16" s="15"/>
      <c r="N16" s="23" t="s">
        <v>57</v>
      </c>
      <c r="O16" s="15"/>
      <c r="P16" s="15"/>
      <c r="Q16" s="28" t="s">
        <v>58</v>
      </c>
      <c r="R16" s="15"/>
      <c r="S16" s="15"/>
      <c r="T16" s="28" t="s">
        <v>64</v>
      </c>
      <c r="U16" s="44">
        <v>20250604</v>
      </c>
      <c r="V16" s="44">
        <v>20250604</v>
      </c>
      <c r="W16" s="15"/>
      <c r="X16" s="15"/>
      <c r="Y16" s="33">
        <v>180000</v>
      </c>
      <c r="Z16" s="15">
        <v>15000</v>
      </c>
      <c r="AA16" s="15">
        <v>180000</v>
      </c>
      <c r="AB16" s="38">
        <v>15000</v>
      </c>
      <c r="AC16" s="39">
        <v>7.0000000000000007E-2</v>
      </c>
      <c r="AD16" s="38">
        <f t="shared" si="2"/>
        <v>1050</v>
      </c>
      <c r="AE16" s="38">
        <v>25.75</v>
      </c>
      <c r="AF16" s="38">
        <f t="shared" si="1"/>
        <v>1075.75</v>
      </c>
      <c r="AG16" s="53"/>
      <c r="AH16" s="15"/>
      <c r="AI16" s="23"/>
      <c r="AJ16" s="25"/>
      <c r="AK16" s="24"/>
      <c r="AL16" s="24"/>
      <c r="AM16" s="47"/>
      <c r="AN16" s="15"/>
      <c r="AO16" s="15"/>
      <c r="AP16" s="15"/>
      <c r="AQ16" s="15"/>
      <c r="AR16" s="15"/>
      <c r="AS16" s="23"/>
      <c r="AT16" s="56">
        <v>1234567890</v>
      </c>
      <c r="AU16" s="15"/>
      <c r="AV16" s="54" t="s">
        <v>140</v>
      </c>
      <c r="AW16" s="15"/>
      <c r="AX16" s="23"/>
      <c r="AY16" s="15"/>
      <c r="AZ16" s="15"/>
      <c r="BA16" s="15"/>
      <c r="BB16" s="15"/>
      <c r="BC16" s="15"/>
      <c r="BD16" s="15"/>
    </row>
    <row r="17" spans="1:56" x14ac:dyDescent="0.3">
      <c r="A17" s="12">
        <v>20201103</v>
      </c>
      <c r="B17" s="13"/>
      <c r="C17" s="14" t="s">
        <v>55</v>
      </c>
      <c r="D17" s="14"/>
      <c r="E17" s="15"/>
      <c r="F17" s="16"/>
      <c r="G17" s="16" t="s">
        <v>95</v>
      </c>
      <c r="H17" s="14"/>
      <c r="I17" s="16" t="s">
        <v>115</v>
      </c>
      <c r="J17" s="17" t="s">
        <v>70</v>
      </c>
      <c r="K17" s="18" t="s">
        <v>135</v>
      </c>
      <c r="L17" s="19"/>
      <c r="M17" s="14"/>
      <c r="N17" s="19" t="s">
        <v>57</v>
      </c>
      <c r="O17" s="19"/>
      <c r="P17" s="19"/>
      <c r="Q17" s="16" t="s">
        <v>58</v>
      </c>
      <c r="R17" s="13"/>
      <c r="S17" s="13"/>
      <c r="T17" s="16" t="s">
        <v>64</v>
      </c>
      <c r="U17" s="20">
        <v>44158</v>
      </c>
      <c r="V17" s="20">
        <v>44158</v>
      </c>
      <c r="W17" s="21"/>
      <c r="X17" s="15"/>
      <c r="Y17" s="22">
        <v>539867.32799999998</v>
      </c>
      <c r="Z17" s="22">
        <f>AB17</f>
        <v>44988.944000000003</v>
      </c>
      <c r="AA17" s="22">
        <f>AB17*12</f>
        <v>539867.32799999998</v>
      </c>
      <c r="AB17" s="36">
        <v>44988.944000000003</v>
      </c>
      <c r="AC17" s="37">
        <v>0.15</v>
      </c>
      <c r="AD17" s="38">
        <f t="shared" si="2"/>
        <v>6748.3416000000007</v>
      </c>
      <c r="AE17" s="38">
        <v>25.75</v>
      </c>
      <c r="AF17" s="38">
        <f t="shared" si="1"/>
        <v>6774.0916000000007</v>
      </c>
      <c r="AG17" s="53"/>
      <c r="AH17" s="14"/>
      <c r="AI17" s="19"/>
      <c r="AJ17" s="25"/>
      <c r="AK17" s="24"/>
      <c r="AL17" s="24"/>
      <c r="AM17" s="24"/>
      <c r="AN17" s="14"/>
      <c r="AO17" s="14"/>
      <c r="AP17" s="14"/>
      <c r="AQ17" s="14"/>
      <c r="AR17" s="14"/>
      <c r="AS17" s="26"/>
      <c r="AT17" s="56">
        <v>1234567890</v>
      </c>
      <c r="AU17" s="19"/>
      <c r="AV17" s="54" t="s">
        <v>140</v>
      </c>
      <c r="AW17" s="15"/>
      <c r="AX17" s="18"/>
      <c r="AY17" s="14"/>
      <c r="AZ17" s="14"/>
      <c r="BA17" s="34"/>
      <c r="BB17" s="19"/>
      <c r="BC17" s="35"/>
      <c r="BD17" s="14"/>
    </row>
    <row r="18" spans="1:56" x14ac:dyDescent="0.3">
      <c r="A18" s="12">
        <v>20230101</v>
      </c>
      <c r="B18" s="13"/>
      <c r="C18" s="14" t="s">
        <v>55</v>
      </c>
      <c r="D18" s="14"/>
      <c r="E18" s="15"/>
      <c r="F18" s="16"/>
      <c r="G18" s="16" t="s">
        <v>96</v>
      </c>
      <c r="H18" s="14"/>
      <c r="I18" s="16" t="s">
        <v>116</v>
      </c>
      <c r="J18" s="17" t="s">
        <v>71</v>
      </c>
      <c r="K18" s="18" t="s">
        <v>136</v>
      </c>
      <c r="L18" s="19"/>
      <c r="M18" s="14"/>
      <c r="N18" s="19" t="s">
        <v>57</v>
      </c>
      <c r="O18" s="19"/>
      <c r="P18" s="19"/>
      <c r="Q18" s="16" t="s">
        <v>58</v>
      </c>
      <c r="R18" s="13"/>
      <c r="S18" s="13"/>
      <c r="T18" s="16" t="s">
        <v>72</v>
      </c>
      <c r="U18" s="20">
        <v>44928</v>
      </c>
      <c r="V18" s="20">
        <v>44928</v>
      </c>
      <c r="W18" s="21"/>
      <c r="X18" s="15"/>
      <c r="Y18" s="22">
        <v>476236.80000000005</v>
      </c>
      <c r="Z18" s="22">
        <f>AB18</f>
        <v>39686.400000000001</v>
      </c>
      <c r="AA18" s="22">
        <f>AB18*12</f>
        <v>476236.80000000005</v>
      </c>
      <c r="AB18" s="36">
        <v>39686.400000000001</v>
      </c>
      <c r="AC18" s="37">
        <v>0.1</v>
      </c>
      <c r="AD18" s="38">
        <f t="shared" si="2"/>
        <v>3968.6400000000003</v>
      </c>
      <c r="AE18" s="38">
        <v>25.75</v>
      </c>
      <c r="AF18" s="38">
        <f t="shared" si="1"/>
        <v>3994.3900000000003</v>
      </c>
      <c r="AG18" s="53"/>
      <c r="AH18" s="24"/>
      <c r="AI18" s="19"/>
      <c r="AJ18" s="25"/>
      <c r="AK18" s="24"/>
      <c r="AL18" s="24"/>
      <c r="AM18" s="24"/>
      <c r="AN18" s="14"/>
      <c r="AO18" s="14"/>
      <c r="AP18" s="14"/>
      <c r="AQ18" s="14"/>
      <c r="AR18" s="14"/>
      <c r="AS18" s="26"/>
      <c r="AT18" s="56">
        <v>1234567890</v>
      </c>
      <c r="AU18" s="19"/>
      <c r="AV18" s="54" t="s">
        <v>140</v>
      </c>
      <c r="AW18" s="15"/>
      <c r="AX18" s="18"/>
      <c r="AY18" s="14"/>
      <c r="AZ18" s="14"/>
      <c r="BA18" s="34"/>
      <c r="BB18" s="19"/>
      <c r="BC18" s="35"/>
      <c r="BD18" s="14"/>
    </row>
    <row r="19" spans="1:56" x14ac:dyDescent="0.3">
      <c r="A19" s="27">
        <v>20230701</v>
      </c>
      <c r="B19" s="40"/>
      <c r="C19" s="15" t="s">
        <v>55</v>
      </c>
      <c r="D19" s="15"/>
      <c r="E19" s="15"/>
      <c r="F19" s="28"/>
      <c r="G19" s="16" t="s">
        <v>97</v>
      </c>
      <c r="H19" s="15"/>
      <c r="I19" s="16" t="s">
        <v>117</v>
      </c>
      <c r="J19" s="29" t="s">
        <v>73</v>
      </c>
      <c r="K19" s="18" t="s">
        <v>137</v>
      </c>
      <c r="L19" s="23"/>
      <c r="M19" s="15"/>
      <c r="N19" s="23" t="s">
        <v>57</v>
      </c>
      <c r="O19" s="23"/>
      <c r="P19" s="23"/>
      <c r="Q19" s="28" t="s">
        <v>58</v>
      </c>
      <c r="R19" s="40"/>
      <c r="S19" s="40"/>
      <c r="T19" s="28" t="s">
        <v>60</v>
      </c>
      <c r="U19" s="31">
        <v>45474</v>
      </c>
      <c r="V19" s="31">
        <v>45474</v>
      </c>
      <c r="W19" s="21"/>
      <c r="X19" s="15"/>
      <c r="Y19" s="33">
        <v>840000</v>
      </c>
      <c r="Z19" s="33">
        <f>AB19</f>
        <v>70000</v>
      </c>
      <c r="AA19" s="33">
        <f>AB19*12</f>
        <v>840000</v>
      </c>
      <c r="AB19" s="38">
        <v>70000</v>
      </c>
      <c r="AC19" s="39">
        <v>7.0000000000000007E-2</v>
      </c>
      <c r="AD19" s="38">
        <f t="shared" si="2"/>
        <v>4900.0000000000009</v>
      </c>
      <c r="AE19" s="38">
        <v>25.75</v>
      </c>
      <c r="AF19" s="38">
        <f t="shared" si="1"/>
        <v>4925.7500000000009</v>
      </c>
      <c r="AG19" s="53"/>
      <c r="AH19" s="15"/>
      <c r="AI19" s="23"/>
      <c r="AJ19" s="25"/>
      <c r="AK19" s="24"/>
      <c r="AL19" s="24"/>
      <c r="AM19" s="24"/>
      <c r="AN19" s="15"/>
      <c r="AO19" s="15"/>
      <c r="AP19" s="15"/>
      <c r="AQ19" s="15"/>
      <c r="AR19" s="15"/>
      <c r="AS19" s="41"/>
      <c r="AT19" s="56">
        <v>1234567890</v>
      </c>
      <c r="AU19" s="23"/>
      <c r="AV19" s="54" t="s">
        <v>140</v>
      </c>
      <c r="AW19" s="15"/>
      <c r="AX19" s="30"/>
      <c r="AY19" s="15"/>
      <c r="AZ19" s="15"/>
      <c r="BA19" s="42"/>
      <c r="BB19" s="23"/>
      <c r="BC19" s="43"/>
      <c r="BD19" s="15"/>
    </row>
    <row r="20" spans="1:56" x14ac:dyDescent="0.3">
      <c r="A20" s="27">
        <v>20251101</v>
      </c>
      <c r="B20" s="40"/>
      <c r="C20" s="15" t="s">
        <v>55</v>
      </c>
      <c r="D20" s="15"/>
      <c r="E20" s="15"/>
      <c r="F20" s="28"/>
      <c r="G20" s="16" t="s">
        <v>98</v>
      </c>
      <c r="H20" s="15"/>
      <c r="I20" s="16" t="s">
        <v>118</v>
      </c>
      <c r="J20" s="29" t="s">
        <v>75</v>
      </c>
      <c r="K20" s="18" t="s">
        <v>138</v>
      </c>
      <c r="L20" s="23"/>
      <c r="M20" s="15"/>
      <c r="N20" s="23" t="s">
        <v>57</v>
      </c>
      <c r="O20" s="23"/>
      <c r="P20" s="23"/>
      <c r="Q20" s="28" t="s">
        <v>58</v>
      </c>
      <c r="R20" s="40"/>
      <c r="S20" s="40"/>
      <c r="T20" s="28" t="s">
        <v>64</v>
      </c>
      <c r="U20" s="31">
        <v>45962</v>
      </c>
      <c r="V20" s="31">
        <v>45962</v>
      </c>
      <c r="W20" s="21"/>
      <c r="X20" s="15"/>
      <c r="Y20" s="33">
        <v>180000</v>
      </c>
      <c r="Z20" s="33">
        <f>AB20</f>
        <v>15000</v>
      </c>
      <c r="AA20" s="33">
        <f>AB20*12</f>
        <v>180000</v>
      </c>
      <c r="AB20" s="38">
        <v>15000</v>
      </c>
      <c r="AC20" s="39">
        <v>7.0000000000000007E-2</v>
      </c>
      <c r="AD20" s="38">
        <f t="shared" si="2"/>
        <v>1050</v>
      </c>
      <c r="AE20" s="38">
        <v>25.75</v>
      </c>
      <c r="AF20" s="38">
        <f t="shared" si="1"/>
        <v>1075.75</v>
      </c>
      <c r="AG20" s="53"/>
      <c r="AH20" s="15"/>
      <c r="AI20" s="23"/>
      <c r="AJ20" s="25"/>
      <c r="AK20" s="24"/>
      <c r="AL20" s="24"/>
      <c r="AM20" s="24"/>
      <c r="AN20" s="15"/>
      <c r="AO20" s="15"/>
      <c r="AP20" s="15"/>
      <c r="AQ20" s="15"/>
      <c r="AR20" s="15"/>
      <c r="AS20" s="41"/>
      <c r="AT20" s="56">
        <v>1234567890</v>
      </c>
      <c r="AU20" s="23"/>
      <c r="AV20" s="54" t="s">
        <v>140</v>
      </c>
      <c r="AW20" s="15"/>
      <c r="AX20" s="30"/>
      <c r="AY20" s="15"/>
      <c r="AZ20" s="15"/>
      <c r="BA20" s="42"/>
      <c r="BB20" s="23"/>
      <c r="BC20" s="43"/>
      <c r="BD20" s="15"/>
    </row>
    <row r="21" spans="1:56" x14ac:dyDescent="0.3">
      <c r="A21" s="27">
        <v>20110502</v>
      </c>
      <c r="B21" s="40"/>
      <c r="C21" s="15" t="s">
        <v>55</v>
      </c>
      <c r="D21" s="15"/>
      <c r="E21" s="15"/>
      <c r="F21" s="28"/>
      <c r="G21" s="16" t="s">
        <v>99</v>
      </c>
      <c r="H21" s="15"/>
      <c r="I21" s="16" t="s">
        <v>119</v>
      </c>
      <c r="J21" s="29" t="s">
        <v>74</v>
      </c>
      <c r="K21" s="18" t="s">
        <v>139</v>
      </c>
      <c r="L21" s="23"/>
      <c r="M21" s="15"/>
      <c r="N21" s="23" t="s">
        <v>57</v>
      </c>
      <c r="O21" s="23"/>
      <c r="P21" s="23"/>
      <c r="Q21" s="28" t="s">
        <v>58</v>
      </c>
      <c r="R21" s="40"/>
      <c r="S21" s="40"/>
      <c r="T21" s="28" t="s">
        <v>72</v>
      </c>
      <c r="U21" s="31">
        <v>40664</v>
      </c>
      <c r="V21" s="31">
        <v>40664</v>
      </c>
      <c r="W21" s="21"/>
      <c r="X21" s="15"/>
      <c r="Y21" s="33">
        <v>1798252.7999999998</v>
      </c>
      <c r="Z21" s="33">
        <f>AB21</f>
        <v>149854.39999999999</v>
      </c>
      <c r="AA21" s="33">
        <f>AB21*12</f>
        <v>1798252.7999999998</v>
      </c>
      <c r="AB21" s="38">
        <v>149854.39999999999</v>
      </c>
      <c r="AC21" s="39">
        <v>7.0000000000000007E-2</v>
      </c>
      <c r="AD21" s="38">
        <f t="shared" si="2"/>
        <v>10489.808000000001</v>
      </c>
      <c r="AE21" s="38">
        <v>25.75</v>
      </c>
      <c r="AF21" s="38">
        <f t="shared" si="1"/>
        <v>10515.558000000001</v>
      </c>
      <c r="AG21" s="53"/>
      <c r="AH21" s="15"/>
      <c r="AI21" s="23"/>
      <c r="AJ21" s="25"/>
      <c r="AK21" s="24"/>
      <c r="AL21" s="24"/>
      <c r="AM21" s="24"/>
      <c r="AN21" s="15"/>
      <c r="AO21" s="15"/>
      <c r="AP21" s="15"/>
      <c r="AQ21" s="15"/>
      <c r="AR21" s="15"/>
      <c r="AS21" s="41"/>
      <c r="AT21" s="56">
        <v>1234567890</v>
      </c>
      <c r="AU21" s="23"/>
      <c r="AV21" s="54" t="s">
        <v>140</v>
      </c>
      <c r="AW21" s="15"/>
      <c r="AX21" s="30"/>
      <c r="AY21" s="15"/>
      <c r="AZ21" s="15"/>
      <c r="BA21" s="42"/>
      <c r="BB21" s="23"/>
      <c r="BC21" s="43"/>
      <c r="BD21" s="15"/>
    </row>
    <row r="22" spans="1:56" x14ac:dyDescent="0.3">
      <c r="AD22" s="51"/>
      <c r="AE22" s="51"/>
      <c r="AF22" s="51"/>
    </row>
    <row r="23" spans="1:56" x14ac:dyDescent="0.3">
      <c r="AE23" s="51"/>
    </row>
    <row r="24" spans="1:56" x14ac:dyDescent="0.3">
      <c r="A24" s="49"/>
      <c r="B24" t="s">
        <v>78</v>
      </c>
      <c r="AD24" s="51"/>
      <c r="AE24" s="51"/>
    </row>
    <row r="25" spans="1:56" x14ac:dyDescent="0.3">
      <c r="A25" s="50"/>
      <c r="B25" t="s">
        <v>79</v>
      </c>
    </row>
  </sheetData>
  <sortState xmlns:xlrd2="http://schemas.microsoft.com/office/spreadsheetml/2017/richdata2" ref="A2:DA21">
    <sortCondition ref="I2:I21"/>
  </sortState>
  <phoneticPr fontId="7" type="noConversion"/>
  <hyperlinks>
    <hyperlink ref="AV2" r:id="rId1" xr:uid="{46BB2ED1-682B-418C-A081-3786C6CF08FD}"/>
    <hyperlink ref="AV4" r:id="rId2" display="example1@test.co.za" xr:uid="{74886CD0-407C-442E-88EE-C5A7857FCFD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66e147-8c04-46d0-a339-2646f28b837c" xsi:nil="true"/>
    <lcf76f155ced4ddcb4097134ff3c332f xmlns="0f855e22-4b89-4f52-be4e-8903921dc58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70D9CE98F27743A4A2488E8C7A559E" ma:contentTypeVersion="14" ma:contentTypeDescription="Create a new document." ma:contentTypeScope="" ma:versionID="6fb3fe34cf74235af3e88537f413569a">
  <xsd:schema xmlns:xsd="http://www.w3.org/2001/XMLSchema" xmlns:xs="http://www.w3.org/2001/XMLSchema" xmlns:p="http://schemas.microsoft.com/office/2006/metadata/properties" xmlns:ns2="0f855e22-4b89-4f52-be4e-8903921dc585" xmlns:ns3="4766e147-8c04-46d0-a339-2646f28b837c" targetNamespace="http://schemas.microsoft.com/office/2006/metadata/properties" ma:root="true" ma:fieldsID="c29c9506730f08af551f5bd5cbdc2477" ns2:_="" ns3:_="">
    <xsd:import namespace="0f855e22-4b89-4f52-be4e-8903921dc585"/>
    <xsd:import namespace="4766e147-8c04-46d0-a339-2646f28b83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55e22-4b89-4f52-be4e-8903921dc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4c39f1d-e000-4850-9a96-195e4a8134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6e147-8c04-46d0-a339-2646f28b837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d9c680b-2077-4b8d-87b8-53dd70ec4494}" ma:internalName="TaxCatchAll" ma:showField="CatchAllData" ma:web="4766e147-8c04-46d0-a339-2646f28b83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Bills Contribution Schedules" ma:contentTypeID="0x010100FA450031D80BDD40B1BCE62FB9A6B34F0004197D594C2CF646A73991C319A11347" ma:contentTypeVersion="42" ma:contentTypeDescription="" ma:contentTypeScope="" ma:versionID="6b7624194fa61c82101ece5937242173">
  <xsd:schema xmlns:xsd="http://www.w3.org/2001/XMLSchema" xmlns:xs="http://www.w3.org/2001/XMLSchema" xmlns:p="http://schemas.microsoft.com/office/2006/metadata/properties" xmlns:ns2="ba8b707c-5e27-484a-a0b0-e047611ffce7" xmlns:ns3="7f23a8e0-3ff2-49f2-8ed8-88d5ce1c6716" xmlns:ns4="484304f9-2847-4448-8f5c-f290ff01bc8a" targetNamespace="http://schemas.microsoft.com/office/2006/metadata/properties" ma:root="true" ma:fieldsID="e5d76d06e71df420966afa28f06b138b" ns2:_="" ns3:_="" ns4:_="">
    <xsd:import namespace="ba8b707c-5e27-484a-a0b0-e047611ffce7"/>
    <xsd:import namespace="7f23a8e0-3ff2-49f2-8ed8-88d5ce1c6716"/>
    <xsd:import namespace="484304f9-2847-4448-8f5c-f290ff01bc8a"/>
    <xsd:element name="properties">
      <xsd:complexType>
        <xsd:sequence>
          <xsd:element name="documentManagement">
            <xsd:complexType>
              <xsd:all>
                <xsd:element ref="ns2:Case_x0020_Key" minOccurs="0"/>
                <xsd:element ref="ns2:Bill_x0020_Group" minOccurs="0"/>
                <xsd:element ref="ns2:Effective_x0020_Date" minOccurs="0"/>
                <xsd:element ref="ns2:Other_x0020_Description" minOccurs="0"/>
                <xsd:element ref="ns3:TaxCatchAllLabel" minOccurs="0"/>
                <xsd:element ref="ns2:_dlc_DocIdPersistId" minOccurs="0"/>
                <xsd:element ref="ns2:_dlc_DocId" minOccurs="0"/>
                <xsd:element ref="ns2:_dlc_DocIdUrl" minOccurs="0"/>
                <xsd:element ref="ns3:a91efec23d6d423ca4c27ea70bd6c84f" minOccurs="0"/>
                <xsd:element ref="ns3:TaxCatchAll" minOccurs="0"/>
                <xsd:element ref="ns2:PublishEmployer" minOccurs="0"/>
                <xsd:element ref="ns2:PublishMember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lcf76f155ced4ddcb4097134ff3c332f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8b707c-5e27-484a-a0b0-e047611ffce7" elementFormDefault="qualified">
    <xsd:import namespace="http://schemas.microsoft.com/office/2006/documentManagement/types"/>
    <xsd:import namespace="http://schemas.microsoft.com/office/infopath/2007/PartnerControls"/>
    <xsd:element name="Case_x0020_Key" ma:index="2" nillable="true" ma:displayName="Case Key" ma:indexed="true" ma:internalName="Case_x0020_Key">
      <xsd:simpleType>
        <xsd:restriction base="dms:Text">
          <xsd:maxLength value="255"/>
        </xsd:restriction>
      </xsd:simpleType>
    </xsd:element>
    <xsd:element name="Bill_x0020_Group" ma:index="3" nillable="true" ma:displayName="Bill Group" ma:indexed="true" ma:internalName="Bill_x0020_Group">
      <xsd:simpleType>
        <xsd:restriction base="dms:Text">
          <xsd:maxLength value="255"/>
        </xsd:restriction>
      </xsd:simpleType>
    </xsd:element>
    <xsd:element name="Effective_x0020_Date" ma:index="5" nillable="true" ma:displayName="Effective Date" ma:format="DateOnly" ma:indexed="true" ma:internalName="Effective_x0020_Date">
      <xsd:simpleType>
        <xsd:restriction base="dms:DateTime"/>
      </xsd:simpleType>
    </xsd:element>
    <xsd:element name="Other_x0020_Description" ma:index="6" nillable="true" ma:displayName="Other Description" ma:internalName="Other_x0020_Description">
      <xsd:simpleType>
        <xsd:restriction base="dms:Text">
          <xsd:maxLength value="255"/>
        </xsd:restriction>
      </xsd:simple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_dlc_DocId" ma:index="13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Employer" ma:index="19" nillable="true" ma:displayName="Publish to Employer" ma:format="RadioButtons" ma:indexed="true" ma:internalName="PublishEmployer">
      <xsd:simpleType>
        <xsd:restriction base="dms:Choice">
          <xsd:enumeration value="Yes"/>
          <xsd:enumeration value="No"/>
        </xsd:restriction>
      </xsd:simpleType>
    </xsd:element>
    <xsd:element name="PublishMember" ma:index="20" nillable="true" ma:displayName="Publish to Member" ma:format="RadioButtons" ma:indexed="true" ma:internalName="PublishMember">
      <xsd:simpleType>
        <xsd:restriction base="dms:Choice">
          <xsd:enumeration value="Yes"/>
          <xsd:enumeration value="N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3a8e0-3ff2-49f2-8ed8-88d5ce1c6716" elementFormDefault="qualified">
    <xsd:import namespace="http://schemas.microsoft.com/office/2006/documentManagement/types"/>
    <xsd:import namespace="http://schemas.microsoft.com/office/infopath/2007/PartnerControls"/>
    <xsd:element name="TaxCatchAllLabel" ma:index="7" nillable="true" ma:displayName="Taxonomy Catch All Column1" ma:hidden="true" ma:list="{618381f3-bbe3-48fe-8875-3dcd6ee16d79}" ma:internalName="TaxCatchAllLabel" ma:readOnly="true" ma:showField="CatchAllDataLabel" ma:web="ba8b707c-5e27-484a-a0b0-e047611ffc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91efec23d6d423ca4c27ea70bd6c84f" ma:index="17" nillable="true" ma:taxonomy="true" ma:internalName="a91efec23d6d423ca4c27ea70bd6c84f" ma:taxonomyFieldName="DocumentType" ma:displayName="Document Type" ma:indexed="true" ma:readOnly="false" ma:default="" ma:fieldId="{a91efec2-3d6d-423c-a4c2-7ea70bd6c84f}" ma:sspId="9d2043c8-618c-4165-a692-ead06f97cc16" ma:termSetId="9d9df4a3-f4fc-425c-822a-7b0ccf472a0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8" nillable="true" ma:displayName="Taxonomy Catch All Column" ma:hidden="true" ma:list="{618381f3-bbe3-48fe-8875-3dcd6ee16d79}" ma:internalName="TaxCatchAll" ma:readOnly="false" ma:showField="CatchAllData" ma:web="ba8b707c-5e27-484a-a0b0-e047611ffc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304f9-2847-4448-8f5c-f290ff01b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9d2043c8-618c-4165-a692-ead06f97cc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1143A9-F699-4F22-85D1-CEFA45931E56}">
  <ds:schemaRefs>
    <ds:schemaRef ds:uri="http://schemas.microsoft.com/office/2006/metadata/properties"/>
    <ds:schemaRef ds:uri="7f23a8e0-3ff2-49f2-8ed8-88d5ce1c6716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ba8b707c-5e27-484a-a0b0-e047611ffce7"/>
    <ds:schemaRef ds:uri="http://schemas.openxmlformats.org/package/2006/metadata/core-properties"/>
    <ds:schemaRef ds:uri="484304f9-2847-4448-8f5c-f290ff01bc8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FF42662-14A4-44F7-98E5-990AB92D098F}"/>
</file>

<file path=customXml/itemProps3.xml><?xml version="1.0" encoding="utf-8"?>
<ds:datastoreItem xmlns:ds="http://schemas.openxmlformats.org/officeDocument/2006/customXml" ds:itemID="{05254A9C-B422-4C8F-B422-5D270E94DB5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FF415AD-BDA0-408D-B8A5-FB784CD546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8b707c-5e27-484a-a0b0-e047611ffce7"/>
    <ds:schemaRef ds:uri="7f23a8e0-3ff2-49f2-8ed8-88d5ce1c6716"/>
    <ds:schemaRef ds:uri="484304f9-2847-4448-8f5c-f290ff01b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Deshnie Naidoo</dc:creator>
  <cp:lastModifiedBy>Jeremiah Dutt</cp:lastModifiedBy>
  <dcterms:created xsi:type="dcterms:W3CDTF">2026-02-20T11:35:20Z</dcterms:created>
  <dcterms:modified xsi:type="dcterms:W3CDTF">2026-02-20T21:07:12Z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0x0101001670D9CE98F27743A4A2488E8C7A559E</vt:lpwstr>
  </property>
</Properties>
</file>